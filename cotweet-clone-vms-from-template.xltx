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45" windowWidth="14355" windowHeight="8250"/>
  </bookViews>
  <sheets>
    <sheet name="xtnvhc2-vms" sheetId="1" r:id="rId1"/>
  </sheets>
  <calcPr calcId="125725"/>
</workbook>
</file>

<file path=xl/calcChain.xml><?xml version="1.0" encoding="utf-8"?>
<calcChain xmlns="http://schemas.openxmlformats.org/spreadsheetml/2006/main">
  <c r="S2" i="1"/>
  <c r="M2"/>
  <c r="L2"/>
  <c r="K2"/>
</calcChain>
</file>

<file path=xl/sharedStrings.xml><?xml version="1.0" encoding="utf-8"?>
<sst xmlns="http://schemas.openxmlformats.org/spreadsheetml/2006/main" count="31" uniqueCount="31">
  <si>
    <t>vCenter</t>
  </si>
  <si>
    <t>Cluster</t>
  </si>
  <si>
    <t>Template</t>
  </si>
  <si>
    <t>Name</t>
  </si>
  <si>
    <t>Disksize</t>
  </si>
  <si>
    <t>Network</t>
  </si>
  <si>
    <t>CPUs</t>
  </si>
  <si>
    <t>MemGB</t>
  </si>
  <si>
    <t>Folder</t>
  </si>
  <si>
    <t>ResourcePool</t>
  </si>
  <si>
    <t>Description</t>
  </si>
  <si>
    <t>xtnvvc01.xt.local</t>
  </si>
  <si>
    <t>xtnvhc2 vms</t>
  </si>
  <si>
    <t>IPAddress</t>
  </si>
  <si>
    <t>FirstDNS</t>
  </si>
  <si>
    <t>SecondDNS</t>
  </si>
  <si>
    <t>Netmask</t>
  </si>
  <si>
    <t>DomainName</t>
  </si>
  <si>
    <t>255.255.255.0</t>
  </si>
  <si>
    <t>Gateway</t>
  </si>
  <si>
    <t>DNS</t>
  </si>
  <si>
    <t>LeadDeveloper</t>
  </si>
  <si>
    <t>NVC3</t>
  </si>
  <si>
    <t>_CT-Ubuntu-10.04.3-x64-Base-r2.2</t>
  </si>
  <si>
    <t>vm1</t>
  </si>
  <si>
    <t>CT-VL40-Admin-172.26.40.0-24</t>
  </si>
  <si>
    <t>qa.cotweet.com</t>
  </si>
  <si>
    <t>NVC3Prod</t>
  </si>
  <si>
    <t>Test VM</t>
  </si>
  <si>
    <t>Greg Swallow</t>
  </si>
  <si>
    <t>172.26.40.225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</si>
</sst>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S2"/>
  <sheetViews>
    <sheetView tabSelected="1" topLeftCell="N1" workbookViewId="0">
      <selection activeCell="Y3" sqref="Y3"/>
    </sheetView>
  </sheetViews>
  <sheetFormatPr defaultRowHeight="15"/>
  <cols>
    <col min="1" max="1" width="17.85546875" customWidth="1"/>
    <col min="3" max="3" width="35.42578125" customWidth="1"/>
    <col min="4" max="4" width="16" customWidth="1"/>
    <col min="5" max="5" width="9.5703125" customWidth="1"/>
    <col min="6" max="6" width="27.85546875" customWidth="1"/>
    <col min="9" max="14" width="15.85546875" customWidth="1"/>
    <col min="15" max="15" width="13.85546875" customWidth="1"/>
    <col min="16" max="16" width="13" customWidth="1"/>
    <col min="17" max="18" width="19.85546875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13</v>
      </c>
      <c r="J1" t="s">
        <v>16</v>
      </c>
      <c r="K1" t="s">
        <v>19</v>
      </c>
      <c r="L1" t="s">
        <v>14</v>
      </c>
      <c r="M1" t="s">
        <v>15</v>
      </c>
      <c r="N1" t="s">
        <v>17</v>
      </c>
      <c r="O1" t="s">
        <v>8</v>
      </c>
      <c r="P1" t="s">
        <v>9</v>
      </c>
      <c r="Q1" t="s">
        <v>10</v>
      </c>
      <c r="R1" t="s">
        <v>21</v>
      </c>
      <c r="S1" t="s">
        <v>20</v>
      </c>
    </row>
    <row r="2" spans="1:19">
      <c r="A2" t="s">
        <v>11</v>
      </c>
      <c r="B2" t="s">
        <v>22</v>
      </c>
      <c r="C2" t="s">
        <v>23</v>
      </c>
      <c r="D2" t="s">
        <v>24</v>
      </c>
      <c r="E2">
        <v>40</v>
      </c>
      <c r="F2" t="s">
        <v>25</v>
      </c>
      <c r="G2">
        <v>2</v>
      </c>
      <c r="H2">
        <v>8</v>
      </c>
      <c r="I2" t="s">
        <v>30</v>
      </c>
      <c r="J2" t="s">
        <v>18</v>
      </c>
      <c r="K2" t="str">
        <f>LEFT(I2,(SEARCH("^^",SUBSTITUTE(I2,".","^^",LEN(I2)-LEN(SUBSTITUTE(I2,".","")))))) &amp; "254"</f>
        <v>172.26.40.254</v>
      </c>
      <c r="L2" t="str">
        <f>LOOKUP(LEFT(I2,(FIND(".",I2,(LEN(I2)-(LEN(I2)-(FIND(".",I2)+1))))-1)),{"172.25","172.26","172.27","172.16","192.168";"172.25.17.185","172.26.17.29","172.27.17.37","172.16.8.77","172.25.17.185"})</f>
        <v>172.26.17.29</v>
      </c>
      <c r="M2" t="str">
        <f>LOOKUP(LEFT(I2,(FIND(".",I2,(LEN(I2)-(LEN(I2)-(FIND(".",I2)+1))))-1)),{"172.25","172.26","172.27","172.16","192.168";"172.25.17.186","172.26.17.246","172.27.17.39","172.16.8.78","172.25.17.186"})</f>
        <v>172.26.17.246</v>
      </c>
      <c r="N2" t="s">
        <v>26</v>
      </c>
      <c r="O2" t="s">
        <v>12</v>
      </c>
      <c r="P2" t="s">
        <v>27</v>
      </c>
      <c r="Q2" t="s">
        <v>28</v>
      </c>
      <c r="R2" t="s">
        <v>29</v>
      </c>
      <c r="S2" t="str">
        <f xml:space="preserve"> "dnscmd /recordadd " &amp; N2 &amp; " " &amp; D2 &amp; " /createptr A " &amp; I2</f>
        <v>dnscmd /recordadd qa.cotweet.com vm1 /createptr A 172.26.40.225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xtnvhc2-vms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Swallow</dc:creator>
  <cp:lastModifiedBy>Greg Swallow</cp:lastModifiedBy>
  <dcterms:created xsi:type="dcterms:W3CDTF">2012-05-10T17:51:33Z</dcterms:created>
  <dcterms:modified xsi:type="dcterms:W3CDTF">2013-02-14T21:56:21Z</dcterms:modified>
</cp:coreProperties>
</file>